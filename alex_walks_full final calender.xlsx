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ovel\Downloads\"/>
    </mc:Choice>
  </mc:AlternateContent>
  <xr:revisionPtr revIDLastSave="0" documentId="8_{03130999-B686-4F30-ADCE-B0E08DF2F0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ex Walks Calendar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1" l="1"/>
  <c r="T23" i="1"/>
  <c r="T20" i="1"/>
  <c r="S20" i="1"/>
  <c r="T18" i="1"/>
  <c r="S18" i="1"/>
  <c r="T19" i="1"/>
  <c r="S19" i="1"/>
  <c r="T16" i="1"/>
  <c r="S16" i="1"/>
  <c r="T14" i="1"/>
  <c r="S14" i="1"/>
  <c r="S15" i="1"/>
  <c r="T15" i="1"/>
  <c r="T29" i="1"/>
  <c r="S29" i="1"/>
  <c r="T28" i="1"/>
  <c r="S28" i="1"/>
  <c r="T27" i="1"/>
  <c r="S27" i="1"/>
  <c r="T26" i="1"/>
  <c r="S26" i="1"/>
  <c r="T25" i="1"/>
  <c r="S25" i="1"/>
  <c r="T24" i="1"/>
  <c r="S24" i="1"/>
  <c r="T13" i="1"/>
  <c r="S13" i="1"/>
  <c r="T12" i="1"/>
  <c r="S12" i="1"/>
  <c r="T11" i="1"/>
  <c r="S11" i="1"/>
  <c r="T10" i="1"/>
  <c r="S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OWNER</author>
  </authors>
  <commentList>
    <comment ref="W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OWNER: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<sst xmlns="http://schemas.openxmlformats.org/spreadsheetml/2006/main" count="231" uniqueCount="145">
  <si>
    <t>KPI (New Account Benchmarks)</t>
  </si>
  <si>
    <t>Target</t>
  </si>
  <si>
    <t>Views per Reel</t>
  </si>
  <si>
    <t>300+</t>
  </si>
  <si>
    <t>Likes</t>
  </si>
  <si>
    <t>30+</t>
  </si>
  <si>
    <t>Comments</t>
  </si>
  <si>
    <t>5+</t>
  </si>
  <si>
    <t>Shares</t>
  </si>
  <si>
    <t>3+</t>
  </si>
  <si>
    <t>Engagement Rate</t>
  </si>
  <si>
    <t>≥8%</t>
  </si>
  <si>
    <t>Viral Score</t>
  </si>
  <si>
    <t>≥6/10</t>
  </si>
  <si>
    <t>Week</t>
  </si>
  <si>
    <t>Day</t>
  </si>
  <si>
    <t>Platform</t>
  </si>
  <si>
    <t>Content Type</t>
  </si>
  <si>
    <t>Location</t>
  </si>
  <si>
    <t>Content Idea</t>
  </si>
  <si>
    <t>Filming Date</t>
  </si>
  <si>
    <t>Edited</t>
  </si>
  <si>
    <t>Posted</t>
  </si>
  <si>
    <t>Daily KPI Target</t>
  </si>
  <si>
    <t>Week 1</t>
  </si>
  <si>
    <t>Sunday</t>
  </si>
  <si>
    <t>Instagram + TikTok + Facebook</t>
  </si>
  <si>
    <t>Reel</t>
  </si>
  <si>
    <t>تقديم شخصية ألكسندر الأكبر</t>
  </si>
  <si>
    <t>Reel target: 300 views</t>
  </si>
  <si>
    <t>Monday</t>
  </si>
  <si>
    <t>Instagram + Facebook</t>
  </si>
  <si>
    <t>Stories: 50 views</t>
  </si>
  <si>
    <t>Tuesday</t>
  </si>
  <si>
    <t>Wednesday</t>
  </si>
  <si>
    <t>Post: 20 likes</t>
  </si>
  <si>
    <t>Thursday</t>
  </si>
  <si>
    <t>Friday</t>
  </si>
  <si>
    <t>القلعة</t>
  </si>
  <si>
    <t>Saturday</t>
  </si>
  <si>
    <t>Week 2</t>
  </si>
  <si>
    <t>سؤال للجمهور</t>
  </si>
  <si>
    <t>Week 3</t>
  </si>
  <si>
    <t>Quiz</t>
  </si>
  <si>
    <t>Intro</t>
  </si>
  <si>
    <t>Hooks</t>
  </si>
  <si>
    <t>Hashtags</t>
  </si>
  <si>
    <t xml:space="preserve">Tiktok
#fyp 
#foryoupage 
#alexandriaegypt 
#egypttravel 
#viralvideo </t>
  </si>
  <si>
    <t xml:space="preserve">facebook :
 #اسكندرية 
#السياحة_في_مصر 
#خروجات 
#مصيف 
#EgyptTravel </t>
  </si>
  <si>
    <t xml:space="preserve">Instagram:
 #alexandria 
#alexandriaegypt 
#visitegypt 
#travelgram 
#exploreegypt </t>
  </si>
  <si>
    <t>قصة بناء القلعة بين الماضي و الحاضر</t>
  </si>
  <si>
    <t xml:space="preserve">Instagram + Facebook + TikTok </t>
  </si>
  <si>
    <t>Objective</t>
  </si>
  <si>
    <t>Reel + stories (New Reel)</t>
  </si>
  <si>
    <t>views - Engagement</t>
  </si>
  <si>
    <t>فسحة بحري</t>
  </si>
  <si>
    <t>post target: 20 like + 3 comments</t>
  </si>
  <si>
    <t>Awarness</t>
  </si>
  <si>
    <t>Engagement</t>
  </si>
  <si>
    <t>شوتات</t>
  </si>
  <si>
    <t>إزاي تقضي يوم في بحري</t>
  </si>
  <si>
    <t>تعالى نقضي سوا يوم في بحري مع أليكس زي ما طلبتوا مننا 
تحبوا أليكس يروح فين المرة اللي جاية؟؟</t>
  </si>
  <si>
    <t>Awarness - Engagement</t>
  </si>
  <si>
    <t xml:space="preserve"> post المسابقة +link of the historic reel</t>
  </si>
  <si>
    <t>comments : 20 comment</t>
  </si>
  <si>
    <t>كورنيش + بحري</t>
  </si>
  <si>
    <t>روقان بحري</t>
  </si>
  <si>
    <t>قلعة قايتباي part 1</t>
  </si>
  <si>
    <t>قلعة قايتباي part 2</t>
  </si>
  <si>
    <t xml:space="preserve">قلنا كنت تعرف المعلومات دي قبل كده و لا لأ ؟ استنوا الجزء التاني؟ </t>
  </si>
  <si>
    <t>إيه فايدة أعلى شباكين في القلعة ؟ دور على الإجابة في الريل بتاعها 
اكتر كومنت صح عليه لايكس حنعلن عنه في الاستوريز اللي جاية</t>
  </si>
  <si>
    <t>POV</t>
  </si>
  <si>
    <t>Qaitbay Soldiers had the best room views ever !!!!</t>
  </si>
  <si>
    <t>إيه اللي بيحصل ؟؟؟؟؟</t>
  </si>
  <si>
    <t>ده جزء التاني من قصة قلعة قايتباي 😍😍
اكتبولنا في التعليقات👇👇👇 يا تري أليكس حياخدكم فين الريل اللي جاي ؟؟ 😉😉😉</t>
  </si>
  <si>
    <t>Carousel  ( post 1 )</t>
  </si>
  <si>
    <t>Carousel  ( post 2 )</t>
  </si>
  <si>
    <t xml:space="preserve">post + stories </t>
  </si>
  <si>
    <t>بوست تشويقي عن فسحة بحري</t>
  </si>
  <si>
    <t>اعلان المسابقة</t>
  </si>
  <si>
    <t xml:space="preserve">فيديو بأسماء الفائزين </t>
  </si>
  <si>
    <t xml:space="preserve"> #alexa #touring #touristattraction #Egypt #egyptian #اسكندرية</t>
  </si>
  <si>
    <t xml:space="preserve">#AlexWalks #ExploreAlexandria #Egypt #اسكندرية #tourism #tour
</t>
  </si>
  <si>
    <t xml:space="preserve">#اسكندرية #egypt  #alexandria  #alexwalks  #tourism
</t>
  </si>
  <si>
    <t>#fyp #viralreels #explore #ExploreEgypt #Egypt #Travel #tourism #Alexandria #ExploreAlexandria #touristattraction #tour #touring #AlexWalks #ExploreAlex #egyptian #AlexanderTheGreat #اسكندرية #مصر #السياحة #تاريخ_مصر</t>
  </si>
  <si>
    <t>#alexwalks #اسكندرية #tourism #tour #Egypt #egyptian</t>
  </si>
  <si>
    <t xml:space="preserve"> #Alexandria #AlexWalks #touring #tourism #egyptian #Egypt #اسكندرية #tour #السياحة #Travel #viralreels #fyp #tourists #مصر #tourist</t>
  </si>
  <si>
    <t>الفائزين معانا في مسابقة يوم الثلاثاء</t>
  </si>
  <si>
    <t>محتار تعمل ايه في يوم الاجازة</t>
  </si>
  <si>
    <t>سيبت التليفون مع اليكس دقيقتين واحنا في القلعة رجعت بقلب في الصور لقيت ده المنظر 😅</t>
  </si>
  <si>
    <t xml:space="preserve">بما ان تصوير اليكس عجبكم انا لقيت الصور دي كمان </t>
  </si>
  <si>
    <t xml:space="preserve">week 2 </t>
  </si>
  <si>
    <t>carousel+ stories</t>
  </si>
  <si>
    <t>عيد تأسيس اسكندرية</t>
  </si>
  <si>
    <t>بوست للاحتفال بتأسيس مدينه الاسكندرية</t>
  </si>
  <si>
    <t>عيد تأسيس اسكندرية علي يد الاسكندر الاكبر</t>
  </si>
  <si>
    <t xml:space="preserve">25 april </t>
  </si>
  <si>
    <t>Instgram views</t>
  </si>
  <si>
    <t>f.b Views</t>
  </si>
  <si>
    <t>f.b Likes</t>
  </si>
  <si>
    <t>instgram likes</t>
  </si>
  <si>
    <t>instgram comment</t>
  </si>
  <si>
    <t>f.b Comments</t>
  </si>
  <si>
    <t>instgram shares</t>
  </si>
  <si>
    <t xml:space="preserve"> f.b Shares</t>
  </si>
  <si>
    <t>#alexwalks #alexandria #sea #مصر #egypt</t>
  </si>
  <si>
    <t>week 2</t>
  </si>
  <si>
    <t>Facebook</t>
  </si>
  <si>
    <t>share post</t>
  </si>
  <si>
    <t>اقتراب احتفالية تأسيس مدينة الإسكندرية</t>
  </si>
  <si>
    <t>نبذه عن تمثال الاسكندر مؤسس الاسكندريه</t>
  </si>
  <si>
    <t xml:space="preserve">بحب اشوف كلام الشعب عني </t>
  </si>
  <si>
    <t xml:space="preserve">#تأسيس #الإسكندرية #احتفالات #احتفالية
</t>
  </si>
  <si>
    <t>thursday</t>
  </si>
  <si>
    <t>post + stories</t>
  </si>
  <si>
    <t xml:space="preserve">ياترى اليكس واخدنا ورايح فين النهاردة؟
 </t>
  </si>
  <si>
    <t xml:space="preserve">اخدنا اليكس عامود السواري و انبهر بقصته واصر يجي يحكيهالكم  تعرفوا ليه اتسمى عامود السواري ؟ </t>
  </si>
  <si>
    <t>بوست ترحيبي بالnew followers</t>
  </si>
  <si>
    <t xml:space="preserve"> Facebook</t>
  </si>
  <si>
    <t xml:space="preserve">بوست تشويقي عن عامود السواري </t>
  </si>
  <si>
    <t xml:space="preserve">عامود السواري </t>
  </si>
  <si>
    <t>شكرا انكم جزء من رحلتنا</t>
  </si>
  <si>
    <t>saturday</t>
  </si>
  <si>
    <t>عامود السواري ج2</t>
  </si>
  <si>
    <t xml:space="preserve"> عامود السواري ج1</t>
  </si>
  <si>
    <t>المسابقة الجاية اجابتها في الريل ده</t>
  </si>
  <si>
    <t>monday</t>
  </si>
  <si>
    <t>عامود السواري ج3</t>
  </si>
  <si>
    <t xml:space="preserve">قولولنا رايكم في الكومنتات واستنو المسابقة بكرة </t>
  </si>
  <si>
    <t xml:space="preserve"> post المسابقة </t>
  </si>
  <si>
    <t xml:space="preserve">هل تعرف أين يوجد حاليًا تمثال سيرابيس الأصلي؟ </t>
  </si>
  <si>
    <t xml:space="preserve">05 may </t>
  </si>
  <si>
    <t>شكرا لكل اللي شاركونا في المسابقة</t>
  </si>
  <si>
    <t xml:space="preserve">#الإسكندرية #عيد_تأسيس_الإسكندرية #alexwalks  #Alexandria #Egypt </t>
  </si>
  <si>
    <t xml:space="preserve">  #alexwalks  #Alexandria #Egypt</t>
  </si>
  <si>
    <t xml:space="preserve">#egypt #discoveregypt #exploreegypt. #alexwalks #alexandria </t>
  </si>
  <si>
    <t>#alexwalks #Egypt #explorepage #AlexanderTheGreat #اسكندرية</t>
  </si>
  <si>
    <t xml:space="preserve">#alexwalks #akexandria #discover #travel #exploreegypt </t>
  </si>
  <si>
    <t xml:space="preserve">
 #Alexandria #AlexWalks #touring #Egypt #egyptian #tourists #Travel #السياحة #tourist #اسكندرية #fyp #viralreels #tour #tourism #touristattraction</t>
  </si>
  <si>
    <t>#alexwalks #مسلسل #مصر #اسكندرية #</t>
  </si>
  <si>
    <t>week 3</t>
  </si>
  <si>
    <t xml:space="preserve">post </t>
  </si>
  <si>
    <t>لن تجد بلاداً ولا بحوراً أخرى - فسوف تلاحقك المدينة - ستهيم في نفس الشوارع". قسطنطين كفافيس.  احتفالية تأسيس مدينة الإسكندرية 🏛️
حكاية مدينة… عمرها ما بتخلص</t>
  </si>
  <si>
    <t>فعاليات عيد تأسيس الإسكندرية</t>
  </si>
  <si>
    <t>Week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</si>
</sst>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FFA500"/>
        <bgColor rgb="FFFFA500"/>
      </patternFill>
    </fill>
    <fill>
      <patternFill patternType="solid">
        <fgColor rgb="FFD8BFD8"/>
        <bgColor rgb="FFD8BFD8"/>
      </patternFill>
    </fill>
    <fill>
      <patternFill patternType="solid">
        <fgColor theme="9" tint="-0.249977111117893"/>
        <bgColor rgb="FFADD8E6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6"/>
  <sheetViews>
    <sheetView tabSelected="1" zoomScale="90" zoomScaleNormal="90" workbookViewId="0">
      <selection activeCell="H29" sqref="H29"/>
    </sheetView>
  </sheetViews>
  <sheetFormatPr defaultColWidth="23.77734375" defaultRowHeight="18" x14ac:dyDescent="0.3"/>
  <cols>
    <col min="1" max="5" width="23.77734375" style="1"/>
    <col min="6" max="6" width="29.33203125" style="1" customWidth="1"/>
    <col min="7" max="7" width="33.109375" style="1" customWidth="1"/>
    <col min="8" max="16384" width="23.77734375" style="1"/>
  </cols>
  <sheetData>
    <row r="1" spans="1:25" ht="36" x14ac:dyDescent="0.3">
      <c r="A1" s="3" t="s">
        <v>0</v>
      </c>
      <c r="B1" s="3" t="s">
        <v>1</v>
      </c>
    </row>
    <row r="2" spans="1:25" x14ac:dyDescent="0.3">
      <c r="A2" s="3" t="s">
        <v>2</v>
      </c>
      <c r="B2" s="3" t="s">
        <v>3</v>
      </c>
    </row>
    <row r="3" spans="1:25" x14ac:dyDescent="0.3">
      <c r="A3" s="3" t="s">
        <v>4</v>
      </c>
      <c r="B3" s="3" t="s">
        <v>5</v>
      </c>
    </row>
    <row r="4" spans="1:25" x14ac:dyDescent="0.3">
      <c r="A4" s="3" t="s">
        <v>6</v>
      </c>
      <c r="B4" s="3" t="s">
        <v>7</v>
      </c>
    </row>
    <row r="5" spans="1:25" x14ac:dyDescent="0.3">
      <c r="A5" s="3" t="s">
        <v>8</v>
      </c>
      <c r="B5" s="3" t="s">
        <v>9</v>
      </c>
    </row>
    <row r="6" spans="1:25" x14ac:dyDescent="0.3">
      <c r="A6" s="3" t="s">
        <v>10</v>
      </c>
      <c r="B6" s="3" t="s">
        <v>11</v>
      </c>
    </row>
    <row r="7" spans="1:25" x14ac:dyDescent="0.3">
      <c r="A7" s="3" t="s">
        <v>12</v>
      </c>
      <c r="B7" s="3" t="s">
        <v>13</v>
      </c>
    </row>
    <row r="9" spans="1:25" ht="60" customHeight="1" x14ac:dyDescent="0.3">
      <c r="A9" s="9" t="s">
        <v>14</v>
      </c>
      <c r="B9" s="9" t="s">
        <v>15</v>
      </c>
      <c r="C9" s="9" t="s">
        <v>16</v>
      </c>
      <c r="D9" s="9" t="s">
        <v>17</v>
      </c>
      <c r="E9" s="9" t="s">
        <v>18</v>
      </c>
      <c r="F9" s="9" t="s">
        <v>19</v>
      </c>
      <c r="G9" s="9" t="s">
        <v>45</v>
      </c>
      <c r="H9" s="9" t="s">
        <v>20</v>
      </c>
      <c r="I9" s="9" t="s">
        <v>21</v>
      </c>
      <c r="J9" s="9" t="s">
        <v>22</v>
      </c>
      <c r="K9" s="9" t="s">
        <v>97</v>
      </c>
      <c r="L9" s="9" t="s">
        <v>98</v>
      </c>
      <c r="M9" s="9" t="s">
        <v>100</v>
      </c>
      <c r="N9" s="9" t="s">
        <v>99</v>
      </c>
      <c r="O9" s="9" t="s">
        <v>101</v>
      </c>
      <c r="P9" s="9" t="s">
        <v>102</v>
      </c>
      <c r="Q9" s="9" t="s">
        <v>103</v>
      </c>
      <c r="R9" s="9" t="s">
        <v>104</v>
      </c>
      <c r="S9" s="9" t="s">
        <v>10</v>
      </c>
      <c r="T9" s="9" t="s">
        <v>12</v>
      </c>
      <c r="U9" s="9" t="s">
        <v>23</v>
      </c>
      <c r="V9" s="20" t="s">
        <v>46</v>
      </c>
      <c r="W9" s="20"/>
      <c r="X9" s="20"/>
      <c r="Y9" s="10" t="s">
        <v>52</v>
      </c>
    </row>
    <row r="10" spans="1:25" ht="37.5" customHeight="1" x14ac:dyDescent="0.3">
      <c r="A10" s="2" t="s">
        <v>24</v>
      </c>
      <c r="B10" s="2" t="s">
        <v>34</v>
      </c>
      <c r="C10" s="2" t="s">
        <v>26</v>
      </c>
      <c r="D10" s="2" t="s">
        <v>53</v>
      </c>
      <c r="E10" s="4" t="s">
        <v>44</v>
      </c>
      <c r="F10" s="2" t="s">
        <v>28</v>
      </c>
      <c r="G10" s="2" t="s">
        <v>73</v>
      </c>
      <c r="H10" s="14">
        <v>46124</v>
      </c>
      <c r="I10" s="14">
        <v>46125</v>
      </c>
      <c r="J10" s="14">
        <v>46127</v>
      </c>
      <c r="K10" s="14"/>
      <c r="L10" s="2">
        <v>5018</v>
      </c>
      <c r="M10" s="2"/>
      <c r="N10" s="2">
        <v>98</v>
      </c>
      <c r="O10" s="2"/>
      <c r="P10" s="2">
        <v>73</v>
      </c>
      <c r="Q10" s="2"/>
      <c r="R10" s="2">
        <v>16</v>
      </c>
      <c r="S10" s="2">
        <f t="shared" ref="S10:S16" si="0">IF(L10=0,"",(N10+P10+R10)/L10)</f>
        <v>3.7265842965324827E-2</v>
      </c>
      <c r="T10" s="2">
        <f t="shared" ref="T10:T16" si="1">IF(L10=0,"",MIN(10,((N10+P10+R10)/L10)*100))</f>
        <v>3.7265842965324829</v>
      </c>
      <c r="U10" s="2" t="s">
        <v>29</v>
      </c>
      <c r="V10" s="2" t="s">
        <v>48</v>
      </c>
      <c r="W10" s="2" t="s">
        <v>49</v>
      </c>
      <c r="X10" s="2" t="s">
        <v>47</v>
      </c>
      <c r="Y10" s="2" t="s">
        <v>54</v>
      </c>
    </row>
    <row r="11" spans="1:25" ht="36" x14ac:dyDescent="0.3">
      <c r="A11" s="2" t="s">
        <v>24</v>
      </c>
      <c r="B11" s="2" t="s">
        <v>36</v>
      </c>
      <c r="C11" s="2" t="s">
        <v>51</v>
      </c>
      <c r="D11" s="2" t="s">
        <v>53</v>
      </c>
      <c r="E11" s="5" t="s">
        <v>67</v>
      </c>
      <c r="F11" s="2" t="s">
        <v>50</v>
      </c>
      <c r="G11" s="2" t="s">
        <v>69</v>
      </c>
      <c r="H11" s="14">
        <v>46125</v>
      </c>
      <c r="I11" s="14">
        <v>46127</v>
      </c>
      <c r="J11" s="14">
        <v>46128</v>
      </c>
      <c r="K11" s="14"/>
      <c r="L11" s="2">
        <v>7457</v>
      </c>
      <c r="M11" s="2"/>
      <c r="N11" s="2">
        <v>105</v>
      </c>
      <c r="O11" s="2"/>
      <c r="P11" s="2">
        <v>86</v>
      </c>
      <c r="Q11" s="2"/>
      <c r="R11" s="2">
        <v>12</v>
      </c>
      <c r="S11" s="2">
        <f t="shared" si="0"/>
        <v>2.7222743730722809E-2</v>
      </c>
      <c r="T11" s="2">
        <f t="shared" si="1"/>
        <v>2.7222743730722812</v>
      </c>
      <c r="U11" s="2" t="s">
        <v>29</v>
      </c>
      <c r="V11" s="19" t="s">
        <v>81</v>
      </c>
      <c r="W11" s="19"/>
      <c r="X11" s="19"/>
      <c r="Y11" s="2" t="s">
        <v>58</v>
      </c>
    </row>
    <row r="12" spans="1:25" ht="90" x14ac:dyDescent="0.3">
      <c r="A12" s="2" t="s">
        <v>24</v>
      </c>
      <c r="B12" s="2" t="s">
        <v>37</v>
      </c>
      <c r="C12" s="2" t="s">
        <v>51</v>
      </c>
      <c r="D12" s="2" t="s">
        <v>53</v>
      </c>
      <c r="E12" s="5" t="s">
        <v>68</v>
      </c>
      <c r="F12" s="2" t="s">
        <v>50</v>
      </c>
      <c r="G12" s="2" t="s">
        <v>74</v>
      </c>
      <c r="H12" s="14">
        <v>46125</v>
      </c>
      <c r="I12" s="14">
        <v>46127</v>
      </c>
      <c r="J12" s="14">
        <v>46129</v>
      </c>
      <c r="K12" s="14"/>
      <c r="L12" s="2">
        <v>3494</v>
      </c>
      <c r="M12" s="2"/>
      <c r="N12" s="2">
        <v>55</v>
      </c>
      <c r="O12" s="2"/>
      <c r="P12" s="2">
        <v>66</v>
      </c>
      <c r="Q12" s="2"/>
      <c r="R12" s="2">
        <v>11</v>
      </c>
      <c r="S12" s="2">
        <f t="shared" si="0"/>
        <v>3.7779049799656551E-2</v>
      </c>
      <c r="T12" s="2">
        <f t="shared" si="1"/>
        <v>3.7779049799656552</v>
      </c>
      <c r="U12" s="2" t="s">
        <v>56</v>
      </c>
      <c r="V12" s="19" t="s">
        <v>81</v>
      </c>
      <c r="W12" s="19"/>
      <c r="X12" s="19"/>
      <c r="Y12" s="2" t="s">
        <v>57</v>
      </c>
    </row>
    <row r="13" spans="1:25" ht="54" x14ac:dyDescent="0.3">
      <c r="A13" s="2" t="s">
        <v>24</v>
      </c>
      <c r="B13" s="2" t="s">
        <v>39</v>
      </c>
      <c r="C13" s="2" t="s">
        <v>31</v>
      </c>
      <c r="D13" s="2" t="s">
        <v>75</v>
      </c>
      <c r="E13" s="5" t="s">
        <v>65</v>
      </c>
      <c r="F13" s="2" t="s">
        <v>66</v>
      </c>
      <c r="G13" s="2" t="s">
        <v>89</v>
      </c>
      <c r="H13" s="14">
        <v>46129</v>
      </c>
      <c r="I13" s="14">
        <v>46129</v>
      </c>
      <c r="J13" s="14">
        <v>46130</v>
      </c>
      <c r="K13" s="14"/>
      <c r="L13" s="2">
        <v>3845</v>
      </c>
      <c r="M13" s="2"/>
      <c r="N13" s="2">
        <v>72</v>
      </c>
      <c r="O13" s="2"/>
      <c r="P13" s="2">
        <v>62</v>
      </c>
      <c r="Q13" s="2"/>
      <c r="R13" s="2">
        <v>10</v>
      </c>
      <c r="S13" s="2">
        <f t="shared" si="0"/>
        <v>3.745123537061118E-2</v>
      </c>
      <c r="T13" s="2">
        <f t="shared" si="1"/>
        <v>3.7451235370611178</v>
      </c>
      <c r="U13" s="2" t="s">
        <v>35</v>
      </c>
      <c r="V13" s="19" t="s">
        <v>82</v>
      </c>
      <c r="W13" s="19"/>
      <c r="X13" s="19"/>
      <c r="Y13" s="2" t="s">
        <v>58</v>
      </c>
    </row>
    <row r="14" spans="1:25" ht="36" x14ac:dyDescent="0.3">
      <c r="A14" s="2" t="s">
        <v>24</v>
      </c>
      <c r="B14" s="2" t="s">
        <v>25</v>
      </c>
      <c r="C14" s="2" t="s">
        <v>31</v>
      </c>
      <c r="D14" s="2" t="s">
        <v>76</v>
      </c>
      <c r="E14" s="5" t="s">
        <v>65</v>
      </c>
      <c r="F14" s="2" t="s">
        <v>66</v>
      </c>
      <c r="G14" s="2" t="s">
        <v>90</v>
      </c>
      <c r="H14" s="14">
        <v>46129</v>
      </c>
      <c r="I14" s="14">
        <v>46129</v>
      </c>
      <c r="J14" s="14">
        <v>46131</v>
      </c>
      <c r="K14" s="14"/>
      <c r="L14" s="2">
        <v>2281</v>
      </c>
      <c r="M14" s="2">
        <v>37</v>
      </c>
      <c r="N14" s="2">
        <v>92</v>
      </c>
      <c r="O14" s="2">
        <v>23</v>
      </c>
      <c r="P14" s="2">
        <v>81</v>
      </c>
      <c r="Q14" s="2">
        <v>20</v>
      </c>
      <c r="R14" s="2">
        <v>24</v>
      </c>
      <c r="S14" s="2">
        <f t="shared" si="0"/>
        <v>8.6365629110039463E-2</v>
      </c>
      <c r="T14" s="2">
        <f t="shared" si="1"/>
        <v>8.6365629110039457</v>
      </c>
      <c r="U14" s="2" t="s">
        <v>35</v>
      </c>
      <c r="V14" s="19" t="s">
        <v>82</v>
      </c>
      <c r="W14" s="19"/>
      <c r="X14" s="19"/>
      <c r="Y14" s="2" t="s">
        <v>58</v>
      </c>
    </row>
    <row r="15" spans="1:25" ht="36" x14ac:dyDescent="0.3">
      <c r="A15" s="2" t="s">
        <v>24</v>
      </c>
      <c r="B15" s="2" t="s">
        <v>30</v>
      </c>
      <c r="C15" s="2" t="s">
        <v>51</v>
      </c>
      <c r="D15" s="2" t="s">
        <v>53</v>
      </c>
      <c r="E15" s="5" t="s">
        <v>71</v>
      </c>
      <c r="F15" s="2" t="s">
        <v>59</v>
      </c>
      <c r="G15" s="2" t="s">
        <v>72</v>
      </c>
      <c r="H15" s="14">
        <v>46125</v>
      </c>
      <c r="I15" s="14">
        <v>46131</v>
      </c>
      <c r="J15" s="14">
        <v>46132</v>
      </c>
      <c r="K15" s="14"/>
      <c r="L15" s="2">
        <v>552</v>
      </c>
      <c r="M15" s="2">
        <v>35</v>
      </c>
      <c r="N15" s="2">
        <v>38</v>
      </c>
      <c r="O15" s="2">
        <v>15</v>
      </c>
      <c r="P15" s="2">
        <v>22</v>
      </c>
      <c r="Q15" s="2">
        <v>21</v>
      </c>
      <c r="R15" s="2">
        <v>10</v>
      </c>
      <c r="S15" s="2">
        <f t="shared" si="0"/>
        <v>0.12681159420289856</v>
      </c>
      <c r="T15" s="2">
        <f t="shared" si="1"/>
        <v>10</v>
      </c>
      <c r="U15" s="2" t="s">
        <v>35</v>
      </c>
      <c r="V15" s="16" t="s">
        <v>83</v>
      </c>
      <c r="W15" s="17"/>
      <c r="X15" s="18"/>
      <c r="Y15" s="2" t="s">
        <v>58</v>
      </c>
    </row>
    <row r="16" spans="1:25" ht="72" x14ac:dyDescent="0.3">
      <c r="A16" s="2" t="s">
        <v>24</v>
      </c>
      <c r="B16" s="2" t="s">
        <v>33</v>
      </c>
      <c r="C16" s="2" t="s">
        <v>31</v>
      </c>
      <c r="D16" s="2" t="s">
        <v>63</v>
      </c>
      <c r="E16" s="5" t="s">
        <v>38</v>
      </c>
      <c r="F16" s="2" t="s">
        <v>41</v>
      </c>
      <c r="G16" s="2" t="s">
        <v>70</v>
      </c>
      <c r="H16" s="14">
        <v>46125</v>
      </c>
      <c r="I16" s="14">
        <v>46132</v>
      </c>
      <c r="J16" s="14">
        <v>46133</v>
      </c>
      <c r="K16" s="14"/>
      <c r="L16" s="2">
        <v>2237</v>
      </c>
      <c r="M16" s="2"/>
      <c r="N16" s="2">
        <v>31</v>
      </c>
      <c r="O16" s="2"/>
      <c r="P16" s="2">
        <v>26</v>
      </c>
      <c r="Q16" s="2"/>
      <c r="R16" s="2">
        <v>14</v>
      </c>
      <c r="S16" s="2">
        <f t="shared" si="0"/>
        <v>3.1738936075100581E-2</v>
      </c>
      <c r="T16" s="2">
        <f t="shared" si="1"/>
        <v>3.1738936075100579</v>
      </c>
      <c r="U16" s="2" t="s">
        <v>64</v>
      </c>
      <c r="V16" s="19" t="s">
        <v>84</v>
      </c>
      <c r="W16" s="19"/>
      <c r="X16" s="19"/>
      <c r="Y16" s="2" t="s">
        <v>58</v>
      </c>
    </row>
    <row r="17" spans="1:25" ht="54" x14ac:dyDescent="0.3">
      <c r="A17" s="2" t="s">
        <v>106</v>
      </c>
      <c r="B17" s="2" t="s">
        <v>34</v>
      </c>
      <c r="C17" s="2" t="s">
        <v>107</v>
      </c>
      <c r="D17" s="2" t="s">
        <v>108</v>
      </c>
      <c r="E17" s="5" t="s">
        <v>109</v>
      </c>
      <c r="F17" s="2" t="s">
        <v>110</v>
      </c>
      <c r="G17" s="2" t="s">
        <v>111</v>
      </c>
      <c r="H17" s="14"/>
      <c r="I17" s="14"/>
      <c r="J17" s="14">
        <v>46134</v>
      </c>
      <c r="K17" s="14"/>
      <c r="L17" s="2"/>
      <c r="M17" s="2"/>
      <c r="N17" s="2"/>
      <c r="O17" s="2"/>
      <c r="P17" s="2"/>
      <c r="Q17" s="2"/>
      <c r="R17" s="2"/>
      <c r="S17" s="2"/>
      <c r="T17" s="2"/>
      <c r="U17" s="2"/>
      <c r="W17" s="12" t="s">
        <v>112</v>
      </c>
      <c r="X17" s="13"/>
      <c r="Y17" s="2" t="s">
        <v>58</v>
      </c>
    </row>
    <row r="18" spans="1:25" ht="56.25" customHeight="1" x14ac:dyDescent="0.3">
      <c r="A18" s="2" t="s">
        <v>40</v>
      </c>
      <c r="B18" s="2" t="s">
        <v>34</v>
      </c>
      <c r="C18" s="2" t="s">
        <v>26</v>
      </c>
      <c r="D18" s="2" t="s">
        <v>53</v>
      </c>
      <c r="E18" s="5" t="s">
        <v>79</v>
      </c>
      <c r="F18" s="2" t="s">
        <v>80</v>
      </c>
      <c r="G18" s="2" t="s">
        <v>87</v>
      </c>
      <c r="H18" s="2"/>
      <c r="I18" s="2"/>
      <c r="J18" s="14">
        <v>46135</v>
      </c>
      <c r="K18" s="14">
        <v>184</v>
      </c>
      <c r="L18" s="2">
        <v>843</v>
      </c>
      <c r="M18" s="2">
        <v>16</v>
      </c>
      <c r="N18" s="2">
        <v>31</v>
      </c>
      <c r="O18" s="2"/>
      <c r="P18" s="2">
        <v>17</v>
      </c>
      <c r="Q18" s="2">
        <v>1</v>
      </c>
      <c r="R18" s="2">
        <v>5</v>
      </c>
      <c r="S18" s="2">
        <f>IF(L18=0,"",(N18+P18+R18)/L18)</f>
        <v>6.2870699881376044E-2</v>
      </c>
      <c r="T18" s="2">
        <f>IF(L18=0,"",MIN(10,((N18+P18+R18)/L18)*100))</f>
        <v>6.2870699881376044</v>
      </c>
      <c r="U18" s="2" t="s">
        <v>29</v>
      </c>
      <c r="V18" s="16" t="s">
        <v>85</v>
      </c>
      <c r="W18" s="17"/>
      <c r="X18" s="18"/>
      <c r="Y18" s="2" t="s">
        <v>62</v>
      </c>
    </row>
    <row r="19" spans="1:25" ht="56.25" customHeight="1" x14ac:dyDescent="0.3">
      <c r="A19" s="2" t="s">
        <v>40</v>
      </c>
      <c r="B19" s="2" t="s">
        <v>36</v>
      </c>
      <c r="C19" s="2" t="s">
        <v>26</v>
      </c>
      <c r="D19" s="2" t="s">
        <v>77</v>
      </c>
      <c r="E19" s="5" t="s">
        <v>55</v>
      </c>
      <c r="F19" s="2" t="s">
        <v>78</v>
      </c>
      <c r="G19" s="2" t="s">
        <v>88</v>
      </c>
      <c r="H19" s="2"/>
      <c r="I19" s="2"/>
      <c r="J19" s="14">
        <v>46135</v>
      </c>
      <c r="K19" s="14"/>
      <c r="L19" s="2">
        <v>1246</v>
      </c>
      <c r="M19" s="2"/>
      <c r="N19" s="2">
        <v>22</v>
      </c>
      <c r="O19" s="2"/>
      <c r="P19" s="2">
        <v>9</v>
      </c>
      <c r="Q19" s="2"/>
      <c r="R19" s="2">
        <v>5</v>
      </c>
      <c r="S19" s="2">
        <f>IF(L19=0,"",(N19+P19+R19)/L19)</f>
        <v>2.8892455858747994E-2</v>
      </c>
      <c r="T19" s="2">
        <f>IF(L19=0,"",MIN(10,((N19+P19+R19)/L19)*100))</f>
        <v>2.8892455858747992</v>
      </c>
      <c r="U19" s="2" t="s">
        <v>29</v>
      </c>
      <c r="V19" s="16" t="s">
        <v>86</v>
      </c>
      <c r="W19" s="17"/>
      <c r="X19" s="18"/>
      <c r="Y19" s="2" t="s">
        <v>62</v>
      </c>
    </row>
    <row r="20" spans="1:25" ht="72" x14ac:dyDescent="0.3">
      <c r="A20" s="2" t="s">
        <v>40</v>
      </c>
      <c r="B20" s="2" t="s">
        <v>36</v>
      </c>
      <c r="C20" s="2" t="s">
        <v>26</v>
      </c>
      <c r="D20" s="2" t="s">
        <v>53</v>
      </c>
      <c r="E20" s="5" t="s">
        <v>55</v>
      </c>
      <c r="F20" s="2" t="s">
        <v>60</v>
      </c>
      <c r="G20" s="2" t="s">
        <v>61</v>
      </c>
      <c r="H20" s="14">
        <v>46133</v>
      </c>
      <c r="I20" s="14">
        <v>46134</v>
      </c>
      <c r="J20" s="14">
        <v>46135</v>
      </c>
      <c r="K20" s="14"/>
      <c r="L20" s="2">
        <v>4162</v>
      </c>
      <c r="M20" s="2"/>
      <c r="N20" s="2">
        <v>56</v>
      </c>
      <c r="O20" s="2"/>
      <c r="P20" s="2">
        <v>19</v>
      </c>
      <c r="Q20" s="2"/>
      <c r="R20" s="2">
        <v>4</v>
      </c>
      <c r="S20" s="2">
        <f>IF(L20=0,"",(N20+P20+R20)/L20)</f>
        <v>1.8981259010091303E-2</v>
      </c>
      <c r="T20" s="2">
        <f>IF(L20=0,"",MIN(10,((N20+P20+R20)/L20)*100))</f>
        <v>1.8981259010091303</v>
      </c>
      <c r="U20" s="2" t="s">
        <v>29</v>
      </c>
      <c r="V20" s="16" t="s">
        <v>86</v>
      </c>
      <c r="W20" s="17"/>
      <c r="X20" s="18"/>
      <c r="Y20" s="2" t="s">
        <v>62</v>
      </c>
    </row>
    <row r="21" spans="1:25" ht="36" x14ac:dyDescent="0.3">
      <c r="A21" s="2" t="s">
        <v>91</v>
      </c>
      <c r="B21" s="2" t="s">
        <v>37</v>
      </c>
      <c r="C21" s="2" t="s">
        <v>26</v>
      </c>
      <c r="D21" s="2" t="s">
        <v>92</v>
      </c>
      <c r="E21" s="5" t="s">
        <v>93</v>
      </c>
      <c r="F21" s="2" t="s">
        <v>94</v>
      </c>
      <c r="G21" s="2" t="s">
        <v>95</v>
      </c>
      <c r="H21" s="14">
        <v>46137</v>
      </c>
      <c r="I21" s="14" t="s">
        <v>96</v>
      </c>
      <c r="J21" s="14" t="s">
        <v>96</v>
      </c>
      <c r="K21" s="14"/>
      <c r="L21" s="2"/>
      <c r="M21" s="2"/>
      <c r="N21" s="2"/>
      <c r="O21" s="2"/>
      <c r="P21" s="2"/>
      <c r="Q21" s="2"/>
      <c r="R21" s="2"/>
      <c r="S21" s="2"/>
      <c r="T21" s="2"/>
      <c r="U21" s="2" t="s">
        <v>64</v>
      </c>
      <c r="V21" s="16" t="s">
        <v>133</v>
      </c>
      <c r="W21" s="17" t="s">
        <v>105</v>
      </c>
      <c r="X21" s="18"/>
      <c r="Y21" s="2" t="s">
        <v>62</v>
      </c>
    </row>
    <row r="22" spans="1:25" ht="108" x14ac:dyDescent="0.3">
      <c r="A22" s="2" t="s">
        <v>106</v>
      </c>
      <c r="B22" s="2" t="s">
        <v>25</v>
      </c>
      <c r="C22" s="2" t="s">
        <v>26</v>
      </c>
      <c r="D22" s="2" t="s">
        <v>27</v>
      </c>
      <c r="E22" s="5" t="s">
        <v>93</v>
      </c>
      <c r="F22" s="2" t="s">
        <v>143</v>
      </c>
      <c r="G22" s="2" t="s">
        <v>142</v>
      </c>
      <c r="H22" s="14">
        <v>46137</v>
      </c>
      <c r="I22" s="14"/>
      <c r="J22" s="14">
        <v>46138</v>
      </c>
      <c r="K22" s="14"/>
      <c r="L22" s="2"/>
      <c r="M22" s="2"/>
      <c r="N22" s="2"/>
      <c r="O22" s="2"/>
      <c r="P22" s="2"/>
      <c r="Q22" s="2"/>
      <c r="R22" s="2"/>
      <c r="S22" s="2"/>
      <c r="T22" s="2"/>
      <c r="U22" s="2"/>
      <c r="V22" s="12"/>
      <c r="W22" s="15"/>
      <c r="X22" s="13"/>
      <c r="Y22" s="2"/>
    </row>
    <row r="23" spans="1:25" ht="54" x14ac:dyDescent="0.3">
      <c r="A23" s="2" t="s">
        <v>42</v>
      </c>
      <c r="B23" s="2" t="s">
        <v>113</v>
      </c>
      <c r="C23" s="2" t="s">
        <v>31</v>
      </c>
      <c r="D23" s="2" t="s">
        <v>114</v>
      </c>
      <c r="E23" s="6" t="s">
        <v>120</v>
      </c>
      <c r="F23" s="2" t="s">
        <v>119</v>
      </c>
      <c r="G23" s="2" t="s">
        <v>115</v>
      </c>
      <c r="H23" s="14"/>
      <c r="I23" s="14">
        <v>46142</v>
      </c>
      <c r="J23" s="14">
        <v>46142</v>
      </c>
      <c r="K23" s="2">
        <v>82</v>
      </c>
      <c r="L23" s="2">
        <v>1232</v>
      </c>
      <c r="M23" s="2">
        <v>9</v>
      </c>
      <c r="N23" s="2">
        <v>37</v>
      </c>
      <c r="O23" s="2">
        <v>0</v>
      </c>
      <c r="P23" s="2">
        <v>11</v>
      </c>
      <c r="Q23" s="2">
        <v>0</v>
      </c>
      <c r="R23" s="2">
        <v>5</v>
      </c>
      <c r="S23" s="2">
        <f t="shared" ref="S23:S29" si="2">IF(L23=0,"",(N23+P23+R23)/L23)</f>
        <v>4.301948051948052E-2</v>
      </c>
      <c r="T23" s="2">
        <f t="shared" ref="T23:T29" si="3">IF(L23=0,"",MIN(10,((N23+P23+R23)/L23)*100))</f>
        <v>4.3019480519480524</v>
      </c>
      <c r="U23" s="2" t="s">
        <v>32</v>
      </c>
      <c r="V23" s="16" t="s">
        <v>134</v>
      </c>
      <c r="W23" s="17"/>
      <c r="X23" s="18"/>
      <c r="Y23" s="2"/>
    </row>
    <row r="24" spans="1:25" ht="54" x14ac:dyDescent="0.3">
      <c r="A24" s="2" t="s">
        <v>42</v>
      </c>
      <c r="B24" s="2" t="s">
        <v>36</v>
      </c>
      <c r="C24" s="2" t="s">
        <v>26</v>
      </c>
      <c r="D24" s="2" t="s">
        <v>53</v>
      </c>
      <c r="E24" s="6" t="s">
        <v>120</v>
      </c>
      <c r="F24" s="2" t="s">
        <v>124</v>
      </c>
      <c r="G24" s="2" t="s">
        <v>116</v>
      </c>
      <c r="H24" s="14">
        <v>46139</v>
      </c>
      <c r="I24" s="14">
        <v>46140</v>
      </c>
      <c r="J24" s="14">
        <v>46142</v>
      </c>
      <c r="K24" s="2">
        <v>127</v>
      </c>
      <c r="L24" s="2">
        <v>572</v>
      </c>
      <c r="M24" s="2">
        <v>16</v>
      </c>
      <c r="N24" s="2">
        <v>52</v>
      </c>
      <c r="O24" s="2">
        <v>4</v>
      </c>
      <c r="P24" s="2">
        <v>45</v>
      </c>
      <c r="Q24" s="2">
        <v>1</v>
      </c>
      <c r="R24" s="2">
        <v>8</v>
      </c>
      <c r="S24" s="2">
        <f t="shared" si="2"/>
        <v>0.18356643356643357</v>
      </c>
      <c r="T24" s="2">
        <f t="shared" si="3"/>
        <v>10</v>
      </c>
      <c r="U24" s="2" t="s">
        <v>29</v>
      </c>
      <c r="V24" s="16" t="s">
        <v>135</v>
      </c>
      <c r="W24" s="17"/>
      <c r="X24" s="18"/>
      <c r="Y24" s="2"/>
    </row>
    <row r="25" spans="1:25" ht="36" x14ac:dyDescent="0.3">
      <c r="A25" s="2" t="s">
        <v>42</v>
      </c>
      <c r="B25" s="2" t="s">
        <v>113</v>
      </c>
      <c r="C25" s="2" t="s">
        <v>118</v>
      </c>
      <c r="D25" s="2" t="s">
        <v>141</v>
      </c>
      <c r="E25" s="6"/>
      <c r="F25" s="2" t="s">
        <v>117</v>
      </c>
      <c r="G25" s="2" t="s">
        <v>121</v>
      </c>
      <c r="H25" s="2"/>
      <c r="I25" s="14">
        <v>46142</v>
      </c>
      <c r="J25" s="14">
        <v>46142</v>
      </c>
      <c r="K25" s="2"/>
      <c r="L25" s="2">
        <v>483</v>
      </c>
      <c r="M25" s="2"/>
      <c r="N25" s="2">
        <v>27</v>
      </c>
      <c r="O25" s="2"/>
      <c r="P25" s="2">
        <v>8</v>
      </c>
      <c r="Q25" s="2"/>
      <c r="R25" s="2">
        <v>2</v>
      </c>
      <c r="S25" s="2">
        <f t="shared" si="2"/>
        <v>7.6604554865424432E-2</v>
      </c>
      <c r="T25" s="2">
        <f t="shared" si="3"/>
        <v>7.6604554865424435</v>
      </c>
      <c r="U25" s="2" t="s">
        <v>35</v>
      </c>
      <c r="V25" s="16" t="s">
        <v>136</v>
      </c>
      <c r="W25" s="17"/>
      <c r="X25" s="18"/>
      <c r="Y25" s="2"/>
    </row>
    <row r="26" spans="1:25" ht="36" x14ac:dyDescent="0.3">
      <c r="A26" s="2" t="s">
        <v>42</v>
      </c>
      <c r="B26" s="2" t="s">
        <v>122</v>
      </c>
      <c r="C26" s="2" t="s">
        <v>26</v>
      </c>
      <c r="D26" s="2" t="s">
        <v>53</v>
      </c>
      <c r="E26" s="6" t="s">
        <v>120</v>
      </c>
      <c r="F26" s="2" t="s">
        <v>123</v>
      </c>
      <c r="G26" s="2" t="s">
        <v>125</v>
      </c>
      <c r="H26" s="14">
        <v>46142</v>
      </c>
      <c r="I26" s="14">
        <v>46144</v>
      </c>
      <c r="J26" s="14">
        <v>46144</v>
      </c>
      <c r="K26" s="2"/>
      <c r="L26" s="2">
        <v>2760</v>
      </c>
      <c r="M26" s="2"/>
      <c r="N26" s="2">
        <v>56</v>
      </c>
      <c r="O26" s="2"/>
      <c r="P26" s="2">
        <v>23</v>
      </c>
      <c r="Q26" s="2"/>
      <c r="R26" s="2">
        <v>5</v>
      </c>
      <c r="S26" s="2">
        <f t="shared" si="2"/>
        <v>3.0434782608695653E-2</v>
      </c>
      <c r="T26" s="2">
        <f t="shared" si="3"/>
        <v>3.0434782608695654</v>
      </c>
      <c r="U26" s="2" t="s">
        <v>29</v>
      </c>
      <c r="V26" s="16" t="s">
        <v>137</v>
      </c>
      <c r="W26" s="17"/>
      <c r="X26" s="18"/>
      <c r="Y26" s="2"/>
    </row>
    <row r="27" spans="1:25" ht="36" x14ac:dyDescent="0.3">
      <c r="A27" s="2" t="s">
        <v>42</v>
      </c>
      <c r="B27" s="2" t="s">
        <v>126</v>
      </c>
      <c r="C27" s="2" t="s">
        <v>31</v>
      </c>
      <c r="D27" s="2" t="s">
        <v>53</v>
      </c>
      <c r="E27" s="6" t="s">
        <v>120</v>
      </c>
      <c r="F27" s="2" t="s">
        <v>127</v>
      </c>
      <c r="G27" s="2" t="s">
        <v>128</v>
      </c>
      <c r="H27" s="14">
        <v>46143</v>
      </c>
      <c r="I27" s="14">
        <v>46144</v>
      </c>
      <c r="J27" s="14">
        <v>46146</v>
      </c>
      <c r="K27" s="2">
        <v>201</v>
      </c>
      <c r="L27" s="2">
        <v>1011</v>
      </c>
      <c r="M27" s="2">
        <v>14</v>
      </c>
      <c r="N27" s="2">
        <v>46</v>
      </c>
      <c r="O27" s="2">
        <v>1</v>
      </c>
      <c r="P27" s="2">
        <v>18</v>
      </c>
      <c r="Q27" s="2">
        <v>0</v>
      </c>
      <c r="R27" s="2">
        <v>4</v>
      </c>
      <c r="S27" s="2">
        <f t="shared" si="2"/>
        <v>6.7260138476755688E-2</v>
      </c>
      <c r="T27" s="2">
        <f t="shared" si="3"/>
        <v>6.7260138476755689</v>
      </c>
      <c r="U27" s="2" t="s">
        <v>32</v>
      </c>
      <c r="V27" s="16" t="s">
        <v>136</v>
      </c>
      <c r="W27" s="17"/>
      <c r="X27" s="18"/>
      <c r="Y27" s="2"/>
    </row>
    <row r="28" spans="1:25" ht="36" x14ac:dyDescent="0.3">
      <c r="A28" s="2" t="s">
        <v>140</v>
      </c>
      <c r="B28" s="2" t="s">
        <v>33</v>
      </c>
      <c r="C28" s="2" t="s">
        <v>31</v>
      </c>
      <c r="D28" s="2" t="s">
        <v>129</v>
      </c>
      <c r="E28" s="6" t="s">
        <v>43</v>
      </c>
      <c r="F28" s="2" t="s">
        <v>41</v>
      </c>
      <c r="G28" s="2" t="s">
        <v>130</v>
      </c>
      <c r="H28" s="14">
        <v>46144</v>
      </c>
      <c r="I28" s="14">
        <v>46146</v>
      </c>
      <c r="J28" s="2" t="s">
        <v>131</v>
      </c>
      <c r="K28" s="2"/>
      <c r="L28" s="2">
        <v>1546</v>
      </c>
      <c r="M28" s="2"/>
      <c r="N28" s="2">
        <v>26</v>
      </c>
      <c r="O28" s="2"/>
      <c r="P28" s="2">
        <v>22</v>
      </c>
      <c r="Q28" s="2"/>
      <c r="R28" s="2">
        <v>6</v>
      </c>
      <c r="S28" s="2">
        <f t="shared" si="2"/>
        <v>3.4928848641655887E-2</v>
      </c>
      <c r="T28" s="2">
        <f t="shared" si="3"/>
        <v>3.4928848641655885</v>
      </c>
      <c r="U28" s="2" t="s">
        <v>35</v>
      </c>
      <c r="V28" s="16" t="s">
        <v>138</v>
      </c>
      <c r="W28" s="17"/>
      <c r="X28" s="18"/>
      <c r="Y28" s="2"/>
    </row>
    <row r="29" spans="1:25" ht="36" x14ac:dyDescent="0.3">
      <c r="A29" s="2" t="s">
        <v>144</v>
      </c>
      <c r="B29" s="2" t="s">
        <v>34</v>
      </c>
      <c r="C29" s="2" t="s">
        <v>31</v>
      </c>
      <c r="D29" s="2" t="s">
        <v>27</v>
      </c>
      <c r="E29" s="6" t="s">
        <v>79</v>
      </c>
      <c r="F29" s="2" t="s">
        <v>80</v>
      </c>
      <c r="G29" s="2" t="s">
        <v>132</v>
      </c>
      <c r="H29" s="14"/>
      <c r="I29" s="14">
        <v>46147</v>
      </c>
      <c r="J29" s="14">
        <v>46148</v>
      </c>
      <c r="K29" s="2">
        <v>246</v>
      </c>
      <c r="L29" s="2">
        <v>2325</v>
      </c>
      <c r="M29" s="2">
        <v>7</v>
      </c>
      <c r="N29" s="2">
        <v>48</v>
      </c>
      <c r="O29" s="2">
        <v>3</v>
      </c>
      <c r="P29" s="2">
        <v>43</v>
      </c>
      <c r="Q29" s="2">
        <v>1</v>
      </c>
      <c r="R29" s="2">
        <v>6</v>
      </c>
      <c r="S29" s="2">
        <f t="shared" si="2"/>
        <v>4.1720430107526879E-2</v>
      </c>
      <c r="T29" s="2">
        <f t="shared" si="3"/>
        <v>4.172043010752688</v>
      </c>
      <c r="U29" s="2" t="s">
        <v>29</v>
      </c>
      <c r="V29" s="16" t="s">
        <v>139</v>
      </c>
      <c r="W29" s="17"/>
      <c r="X29" s="18"/>
      <c r="Y29" s="2"/>
    </row>
    <row r="30" spans="1:25" x14ac:dyDescent="0.3">
      <c r="A30" s="2"/>
      <c r="B30" s="2"/>
      <c r="C30" s="2"/>
      <c r="D30" s="2"/>
      <c r="E30" s="7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x14ac:dyDescent="0.3">
      <c r="A31" s="2"/>
      <c r="B31" s="2"/>
      <c r="C31" s="2"/>
      <c r="D31" s="2"/>
      <c r="E31" s="7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x14ac:dyDescent="0.3">
      <c r="A32" s="2"/>
      <c r="B32" s="2"/>
      <c r="C32" s="2"/>
      <c r="D32" s="2"/>
      <c r="E32" s="7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x14ac:dyDescent="0.3">
      <c r="A33" s="2"/>
      <c r="B33" s="2"/>
      <c r="C33" s="2"/>
      <c r="D33" s="2"/>
      <c r="E33" s="7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x14ac:dyDescent="0.3">
      <c r="A34" s="2"/>
      <c r="B34" s="2"/>
      <c r="C34" s="2"/>
      <c r="D34" s="2"/>
      <c r="E34" s="7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x14ac:dyDescent="0.3">
      <c r="A35" s="2"/>
      <c r="B35" s="2"/>
      <c r="C35" s="2"/>
      <c r="D35" s="2"/>
      <c r="E35" s="7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x14ac:dyDescent="0.3">
      <c r="A36" s="2"/>
      <c r="B36" s="2"/>
      <c r="C36" s="2"/>
      <c r="D36" s="2"/>
      <c r="E36" s="8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x14ac:dyDescent="0.3">
      <c r="A38" s="2"/>
      <c r="B38" s="2"/>
      <c r="C38" s="2"/>
      <c r="D38" s="2"/>
      <c r="E38" s="8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x14ac:dyDescent="0.3">
      <c r="A40" s="2"/>
      <c r="B40" s="2"/>
      <c r="C40" s="2"/>
      <c r="D40" s="2"/>
      <c r="E40" s="8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s="2" customFormat="1" x14ac:dyDescent="0.3"/>
    <row r="46" spans="1:25" s="2" customFormat="1" x14ac:dyDescent="0.3"/>
  </sheetData>
  <mergeCells count="18">
    <mergeCell ref="V9:X9"/>
    <mergeCell ref="V11:X11"/>
    <mergeCell ref="V12:X12"/>
    <mergeCell ref="V15:X15"/>
    <mergeCell ref="V14:X14"/>
    <mergeCell ref="V16:X16"/>
    <mergeCell ref="V18:X18"/>
    <mergeCell ref="V19:X19"/>
    <mergeCell ref="V20:X20"/>
    <mergeCell ref="V13:X13"/>
    <mergeCell ref="V27:X27"/>
    <mergeCell ref="V28:X28"/>
    <mergeCell ref="V29:X29"/>
    <mergeCell ref="V23:X23"/>
    <mergeCell ref="V21:X21"/>
    <mergeCell ref="V24:X24"/>
    <mergeCell ref="V25:X25"/>
    <mergeCell ref="V26:X26"/>
  </mergeCells>
  <phoneticPr fontId="3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Alex Walks 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Dina Ali</cp:lastModifiedBy>
  <dcterms:created xsi:type="dcterms:W3CDTF">2026-03-16T22:22:23Z</dcterms:created>
  <dcterms:modified xsi:type="dcterms:W3CDTF">2026-05-15T12:41:09Z</dcterms:modified>
</cp:coreProperties>
</file>